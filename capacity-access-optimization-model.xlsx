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7a4a9f1d2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a8dccb8b760a4929"/>
    <x:sheet xmlns:r="http://schemas.openxmlformats.org/officeDocument/2006/relationships" name="Provider Capacity" sheetId="2" r:id="Rb843cd8f52784b7d"/>
    <x:sheet xmlns:r="http://schemas.openxmlformats.org/officeDocument/2006/relationships" name="Scenario Analysis" sheetId="3" r:id="Rd4fb38d8b827497e"/>
    <x:sheet xmlns:r="http://schemas.openxmlformats.org/officeDocument/2006/relationships" name="12-Week Projection" sheetId="4" r:id="R8e1aa697c1f04189"/>
    <x:sheet xmlns:r="http://schemas.openxmlformats.org/officeDocument/2006/relationships" name="Dashboard" sheetId="5" r:id="R9273a05f7a9d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"/>
    <x:numFmt numFmtId="203" formatCode="$#,##0"/>
    <x:numFmt numFmtId="204" formatCode="0"/>
    <x:numFmt numFmtId="205" formatCode="0.0&quot; days&quot;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20"/>
      <x:color rgb="FFFFFFFF"/>
      <x:name val="Carlito"/>
    </x:font>
    <x:font>
      <x:i/>
      <x:sz val="11"/>
      <x:color rgb="FF1F2937"/>
      <x:name val="Carlito"/>
    </x:font>
    <x:font>
      <x:b/>
      <x:sz val="10"/>
      <x:color rgb="FF1F2937"/>
      <x:name val="Carlito"/>
    </x:font>
    <x:font>
      <x:b/>
      <x:sz val="18"/>
      <x:color rgb="FF0F172A"/>
      <x:name val="Carlito"/>
    </x:font>
    <x:font>
      <x:sz val="10"/>
      <x:color rgb="FF1F2937"/>
      <x:name val="Carlito"/>
    </x:font>
    <x:font>
      <x:i/>
      <x:sz val="9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2">
    <x:border/>
    <x:border/>
    <x:border>
      <x:bottom style="thin">
        <x:color rgb="FFE2E8F0"/>
      </x:bottom>
    </x:border>
    <x:border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</x:border>
    <x:border>
      <x:right style="thin">
        <x:color rgb="FFE2E8F0"/>
      </x:right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/>
    <x:xf numFmtId="0" fontId="3" fillId="0" borderId="3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2" xfId="0" applyNumberFormat="1" applyFont="1" applyFill="1" applyBorder="1"/>
    <x:xf numFmtId="0" fontId="7" fillId="6" borderId="7" xfId="0" applyNumberFormat="1" applyFont="1" applyFill="1" applyBorder="1"/>
    <x:xf numFmtId="0" fontId="7" fillId="6" borderId="4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5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3" xfId="0" applyNumberFormat="1" applyFont="1" applyFill="1" applyBorder="1"/>
    <x:xf numFmtId="0" fontId="7" fillId="6" borderId="11" xfId="0" applyNumberFormat="1" applyFont="1" applyFill="1" applyBorder="1"/>
    <x:xf numFmtId="0" fontId="7" fillId="6" borderId="8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/>
    </x:xf>
    <x:xf numFmtId="0" fontId="7" fillId="6" borderId="10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11" xfId="0" applyNumberFormat="1" applyFont="1" applyFill="1" applyBorder="1" applyAlignment="1">
      <x:alignment horizontal="center" vertical="center"/>
    </x:xf>
    <x:xf numFmtId="204" fontId="7" fillId="6" borderId="4" xfId="0" applyNumberFormat="1" applyFont="1" applyFill="1" applyBorder="1" applyAlignment="1">
      <x:alignment horizontal="center" vertical="center"/>
    </x:xf>
    <x:xf numFmtId="204" fontId="7" fillId="6" borderId="0" xfId="0" applyNumberFormat="1" applyFont="1" applyFill="1" applyBorder="1" applyAlignment="1">
      <x:alignment horizontal="center" vertical="center"/>
    </x:xf>
    <x:xf numFmtId="204" fontId="7" fillId="6" borderId="5" xfId="0" applyNumberFormat="1" applyFont="1" applyFill="1" applyBorder="1" applyAlignment="1">
      <x:alignment horizontal="center" vertical="center"/>
    </x:xf>
    <x:xf numFmtId="204" fontId="7" fillId="6" borderId="6" xfId="0" applyNumberFormat="1" applyFont="1" applyFill="1" applyBorder="1" applyAlignment="1">
      <x:alignment horizontal="center" vertical="center"/>
    </x:xf>
    <x:xf numFmtId="204" fontId="7" fillId="6" borderId="2" xfId="0" applyNumberFormat="1" applyFont="1" applyFill="1" applyBorder="1" applyAlignment="1">
      <x:alignment horizontal="center" vertical="center"/>
    </x:xf>
    <x:xf numFmtId="204" fontId="7" fillId="6" borderId="7" xfId="0" applyNumberFormat="1" applyFont="1" applyFill="1" applyBorder="1" applyAlignment="1">
      <x:alignment horizontal="center" vertical="center"/>
    </x:xf>
    <x:xf numFmtId="204" fontId="7" fillId="6" borderId="8" xfId="0" applyNumberFormat="1" applyFont="1" applyFill="1" applyBorder="1" applyAlignment="1">
      <x:alignment horizontal="center" vertical="center"/>
    </x:xf>
    <x:xf numFmtId="204" fontId="7" fillId="6" borderId="1" xfId="0" applyNumberFormat="1" applyFont="1" applyFill="1" applyBorder="1" applyAlignment="1">
      <x:alignment horizontal="center" vertical="center"/>
    </x:xf>
    <x:xf numFmtId="204" fontId="7" fillId="6" borderId="9" xfId="0" applyNumberFormat="1" applyFont="1" applyFill="1" applyBorder="1" applyAlignment="1">
      <x:alignment horizontal="center" vertical="center"/>
    </x:xf>
    <x:xf numFmtId="204" fontId="7" fillId="6" borderId="10" xfId="0" applyNumberFormat="1" applyFont="1" applyFill="1" applyBorder="1" applyAlignment="1">
      <x:alignment horizontal="center" vertical="center"/>
    </x:xf>
    <x:xf numFmtId="204" fontId="7" fillId="6" borderId="3" xfId="0" applyNumberFormat="1" applyFont="1" applyFill="1" applyBorder="1" applyAlignment="1">
      <x:alignment horizontal="center" vertical="center"/>
    </x:xf>
    <x:xf numFmtId="204" fontId="7" fillId="6" borderId="11" xfId="0" applyNumberFormat="1" applyFont="1" applyFill="1" applyBorder="1" applyAlignment="1">
      <x:alignment horizontal="center" vertical="center"/>
    </x:xf>
    <x:xf numFmtId="205" fontId="7" fillId="6" borderId="4" xfId="0" applyNumberFormat="1" applyFont="1" applyFill="1" applyBorder="1" applyAlignment="1">
      <x:alignment horizontal="center" vertical="center"/>
    </x:xf>
    <x:xf numFmtId="205" fontId="7" fillId="6" borderId="0" xfId="0" applyNumberFormat="1" applyFont="1" applyFill="1" applyBorder="1" applyAlignment="1">
      <x:alignment horizontal="center" vertical="center"/>
    </x:xf>
    <x:xf numFmtId="205" fontId="7" fillId="6" borderId="5" xfId="0" applyNumberFormat="1" applyFont="1" applyFill="1" applyBorder="1" applyAlignment="1">
      <x:alignment horizontal="center" vertical="center"/>
    </x:xf>
    <x:xf numFmtId="205" fontId="7" fillId="6" borderId="6" xfId="0" applyNumberFormat="1" applyFont="1" applyFill="1" applyBorder="1" applyAlignment="1">
      <x:alignment horizontal="center" vertical="center"/>
    </x:xf>
    <x:xf numFmtId="205" fontId="7" fillId="6" borderId="2" xfId="0" applyNumberFormat="1" applyFont="1" applyFill="1" applyBorder="1" applyAlignment="1">
      <x:alignment horizontal="center" vertical="center"/>
    </x:xf>
    <x:xf numFmtId="205" fontId="7" fillId="6" borderId="7" xfId="0" applyNumberFormat="1" applyFont="1" applyFill="1" applyBorder="1" applyAlignment="1">
      <x:alignment horizontal="center" vertical="center"/>
    </x:xf>
    <x:xf numFmtId="205" fontId="7" fillId="6" borderId="8" xfId="0" applyNumberFormat="1" applyFont="1" applyFill="1" applyBorder="1" applyAlignment="1">
      <x:alignment horizontal="center" vertical="center"/>
    </x:xf>
    <x:xf numFmtId="205" fontId="7" fillId="6" borderId="1" xfId="0" applyNumberFormat="1" applyFont="1" applyFill="1" applyBorder="1" applyAlignment="1">
      <x:alignment horizontal="center" vertical="center"/>
    </x:xf>
    <x:xf numFmtId="205" fontId="7" fillId="6" borderId="9" xfId="0" applyNumberFormat="1" applyFont="1" applyFill="1" applyBorder="1" applyAlignment="1">
      <x:alignment horizontal="center" vertical="center"/>
    </x:xf>
    <x:xf numFmtId="205" fontId="7" fillId="6" borderId="10" xfId="0" applyNumberFormat="1" applyFont="1" applyFill="1" applyBorder="1" applyAlignment="1">
      <x:alignment horizontal="center" vertical="center"/>
    </x:xf>
    <x:xf numFmtId="205" fontId="7" fillId="6" borderId="3" xfId="0" applyNumberFormat="1" applyFont="1" applyFill="1" applyBorder="1" applyAlignment="1">
      <x:alignment horizontal="center" vertical="center"/>
    </x:xf>
    <x:xf numFmtId="205" fontId="7" fillId="6" borderId="1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/>
    <x:xf numFmtId="0" fontId="8" fillId="6" borderId="3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FCE8E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b6695559e480a" /><Relationship Type="http://schemas.openxmlformats.org/officeDocument/2006/relationships/theme" Target="/xl/theme/theme1.xml" Id="R96be3a70074e4579" /><Relationship Type="http://schemas.openxmlformats.org/officeDocument/2006/relationships/sharedStrings" Target="/xl/sharedStrings.xml" Id="R1a82bfea6efd475c" /><Relationship Type="http://schemas.openxmlformats.org/officeDocument/2006/relationships/worksheet" Target="/xl/worksheets/sheet1.xml" Id="Ra8dccb8b760a4929" /><Relationship Type="http://schemas.openxmlformats.org/officeDocument/2006/relationships/worksheet" Target="/xl/worksheets/sheet2.xml" Id="Rb843cd8f52784b7d" /><Relationship Type="http://schemas.openxmlformats.org/officeDocument/2006/relationships/worksheet" Target="/xl/worksheets/sheet3.xml" Id="Rd4fb38d8b827497e" /><Relationship Type="http://schemas.openxmlformats.org/officeDocument/2006/relationships/worksheet" Target="/xl/worksheets/sheet4.xml" Id="R8e1aa697c1f04189" /><Relationship Type="http://schemas.openxmlformats.org/officeDocument/2006/relationships/worksheet" Target="/xl/worksheets/sheet5.xml" Id="R9273a05f7a9d41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cf8d14be9d49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b8c47e51d174b99" /><Relationship Type="http://schemas.openxmlformats.org/officeDocument/2006/relationships/chart" Target="/xl/drawings/charts/chart3.xml" Id="R821b6441451d43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New-Patient Backlog Projection</a:t>
            </a:r>
          </a:p>
        </c:rich>
      </c:tx>
    </c:title>
    <c:plotArea>
      <c:lineChart>
        <c:grouping val="standard"/>
        <c:ser>
          <c:idx val="0"/>
          <c:order val="0"/>
          <c:tx>
            <c:v>Baseline Backlog</c:v>
          </c:tx>
          <c:marker>
            <c:symbol val="none"/>
          </c:marker>
          <c:cat>
            <c:strRef>
              <c:f>'12-Week Projection'!$A$2:$A$14</c:f>
              <c:strCache>
                <c:ptCount val="0"/>
              </c:strCache>
            </c:strRef>
          </c:cat>
          <c:val>
            <c:numRef>
              <c:f>'12-Week Projection'!$B$2:$B$14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Recommended Backlog</c:v>
          </c:tx>
          <c:marker>
            <c:symbol val="none"/>
          </c:marker>
          <c:cat>
            <c:strRef>
              <c:f>'12-Week Projection'!$A$2:$A$14</c:f>
              <c:strCache>
                <c:ptCount val="0"/>
              </c:strCache>
            </c:strRef>
          </c:cat>
          <c:val>
            <c:numRef>
              <c:f>'12-Week Projection'!$C$2:$C$14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12-Week New-Patient Backlog</a:t>
            </a:r>
          </a:p>
        </c:rich>
      </c:tx>
    </c:title>
    <c:plotArea>
      <c:lineChart>
        <c:grouping val="standard"/>
        <c:ser>
          <c:idx val="0"/>
          <c:order val="0"/>
          <c:tx>
            <c:v>Baseline</c:v>
          </c:tx>
          <c:marker>
            <c:symbol val="none"/>
          </c:marker>
          <c:cat>
            <c:strRef>
              <c:f>'Dashboard'!$N$2:$N$14</c:f>
              <c:strCache>
                <c:ptCount val="0"/>
              </c:strCache>
            </c:strRef>
          </c:cat>
          <c:val>
            <c:numRef>
              <c:f>'Dashboard'!$O$2:$O$14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Recommended</c:v>
          </c:tx>
          <c:marker>
            <c:symbol val="none"/>
          </c:marker>
          <c:cat>
            <c:strRef>
              <c:f>'Dashboard'!$N$2:$N$14</c:f>
              <c:strCache>
                <c:ptCount val="0"/>
              </c:strCache>
            </c:strRef>
          </c:cat>
          <c:val>
            <c:numRef>
              <c:f>'Dashboard'!$P$2:$P$14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New-Patient Capacity vs Demand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New Pt Capacity</c:v>
          </c:tx>
          <c:cat>
            <c:strRef>
              <c:f>'Dashboard'!$R$2:$R$6</c:f>
              <c:strCache>
                <c:ptCount val="0"/>
              </c:strCache>
            </c:strRef>
          </c:cat>
          <c:val>
            <c:numRef>
              <c:f>'Dashboard'!$S$2:$S$6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Demand</c:v>
          </c:tx>
          <c:cat>
            <c:strRef>
              <c:f>'Dashboard'!$R$2:$R$6</c:f>
              <c:strCache>
                <c:ptCount val="0"/>
              </c:strCache>
            </c:strRef>
          </c:cat>
          <c:val>
            <c:numRef>
              <c:f>'Dashboard'!$T$2:$T$6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cf8d14be9d49b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8c47e51d174b99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b6441451d43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5193a9b610d44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e0c56c36a32c47e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34" hidden="0" customWidth="1"/>
    <x:col min="4" max="4" width="34" hidden="0" customWidth="1"/>
  </x:cols>
  <x:sheetData>
    <x:row r="1">
      <x:c r="A1" s="5" t="str">
        <x:v>Capacity &amp; Access Optimization — Model Inputs</x:v>
      </x:c>
      <x:c r="B1" s="5"/>
      <x:c r="C1" s="5"/>
      <x:c r="D1" s="5"/>
    </x:row>
    <x:row r="2">
      <x:c r="A2" s="5"/>
      <x:c r="B2" s="5"/>
      <x:c r="C2" s="5"/>
      <x:c r="D2" s="5"/>
    </x:row>
    <x:row r="4">
      <x:c r="A4" s="18" t="str">
        <x:v>Input</x:v>
      </x:c>
      <x:c r="B4" s="18" t="str">
        <x:v>Value</x:v>
      </x:c>
      <x:c r="C4" s="19"/>
      <x:c r="D4" s="19"/>
    </x:row>
    <x:row r="5">
      <x:c r="A5" s="20" t="str">
        <x:v>Weekly New Patient Requests</x:v>
      </x:c>
      <x:c r="B5" s="20" t="n">
        <x:v>78</x:v>
      </x:c>
      <x:c r="C5" s="19"/>
      <x:c r="D5" s="19"/>
    </x:row>
    <x:row r="6">
      <x:c r="A6" s="20" t="str">
        <x:v>Weekly Established Visit Demand</x:v>
      </x:c>
      <x:c r="B6" s="20" t="n">
        <x:v>470</x:v>
      </x:c>
      <x:c r="C6" s="19"/>
      <x:c r="D6" s="19"/>
    </x:row>
    <x:row r="7">
      <x:c r="A7" s="20" t="str">
        <x:v>Starting New Patient Backlog</x:v>
      </x:c>
      <x:c r="B7" s="20" t="n">
        <x:v>105</x:v>
      </x:c>
      <x:c r="C7" s="19"/>
      <x:c r="D7" s="19"/>
    </x:row>
    <x:row r="8">
      <x:c r="A8" s="20" t="str">
        <x:v>Business Days per Week</x:v>
      </x:c>
      <x:c r="B8" s="20" t="n">
        <x:v>5</x:v>
      </x:c>
      <x:c r="C8" s="19"/>
      <x:c r="D8" s="19"/>
    </x:row>
    <x:row r="9">
      <x:c r="A9" s="20" t="str">
        <x:v>Weekly Patient Calls</x:v>
      </x:c>
      <x:c r="B9" s="20" t="n">
        <x:v>1450</x:v>
      </x:c>
      <x:c r="C9" s="19"/>
      <x:c r="D9" s="19"/>
    </x:row>
    <x:row r="10">
      <x:c r="A10" s="20" t="str">
        <x:v>Scheduling FTE</x:v>
      </x:c>
      <x:c r="B10" s="20" t="n">
        <x:v>3</x:v>
      </x:c>
      <x:c r="C10" s="19"/>
      <x:c r="D10" s="19"/>
    </x:row>
    <x:row r="11">
      <x:c r="A11" s="21" t="str">
        <x:v>Calls per Scheduling FTE / Week</x:v>
      </x:c>
      <x:c r="B11" s="21" t="n">
        <x:v>420</x:v>
      </x:c>
      <x:c r="C11" s="19"/>
      <x:c r="D11" s="19"/>
    </x:row>
    <x:row r="12">
      <x:c r="A12" s="19"/>
      <x:c r="B12" s="19"/>
      <x:c r="C12" s="19"/>
      <x:c r="D12" s="19"/>
    </x:row>
    <x:row r="13">
      <x:c r="A13" s="18" t="str">
        <x:v>Assumption</x:v>
      </x:c>
      <x:c r="B13" s="18" t="str">
        <x:v>Value</x:v>
      </x:c>
      <x:c r="C13" s="18" t="str">
        <x:v>Purpose</x:v>
      </x:c>
      <x:c r="D13" s="18" t="str">
        <x:v>Portfolio Note</x:v>
      </x:c>
    </x:row>
    <x:row r="14">
      <x:c r="A14" s="19" t="str">
        <x:v>Projection Horizon (weeks)</x:v>
      </x:c>
      <x:c r="B14" s="19" t="n">
        <x:v>12</x:v>
      </x:c>
      <x:c r="C14" s="19" t="str">
        <x:v>Shows whether backlog is improving or worsening</x:v>
      </x:c>
      <x:c r="D14" s="19" t="str">
        <x:v>Synthetic</x:v>
      </x:c>
    </x:row>
    <x:row r="15">
      <x:c r="A15" s="19" t="str">
        <x:v>Target Access Days</x:v>
      </x:c>
      <x:c r="B15" s="19" t="n">
        <x:v>5</x:v>
      </x:c>
      <x:c r="C15" s="19" t="str">
        <x:v>Operational target for new-patient access</x:v>
      </x:c>
      <x:c r="D15" s="19" t="str">
        <x:v>Illustrative</x:v>
      </x:c>
    </x:row>
    <x:row r="16">
      <x:c r="A16" s="19" t="str">
        <x:v>Recommended Added Scheduling FTE</x:v>
      </x:c>
      <x:c r="B16" s="19" t="n">
        <x:v>0.5</x:v>
      </x:c>
      <x:c r="C16" s="19" t="str">
        <x:v>Brings phone capacity closer to demand</x:v>
      </x:c>
      <x:c r="D16" s="19" t="str">
        <x:v>Synthetic</x:v>
      </x:c>
    </x:row>
    <x:row r="17">
      <x:c r="A17" s="19" t="str">
        <x:v>No PHI / employer data used</x:v>
      </x:c>
      <x:c r="B17" s="19" t="n">
        <x:v>1</x:v>
      </x:c>
      <x:c r="C17" s="19" t="str">
        <x:v>Confirms portfolio-only dataset</x:v>
      </x:c>
      <x:c r="D17" s="19" t="str">
        <x:v>Yes</x:v>
      </x:c>
    </x:row>
  </x:sheetData>
  <x:mergeCells>
    <x:mergeCell ref="A1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>
      <x:c r="A1" s="26" t="str">
        <x:v>Provider</x:v>
      </x:c>
      <x:c r="B1" s="26" t="str">
        <x:v>Type</x:v>
      </x:c>
      <x:c r="C1" s="26" t="str">
        <x:v>Clinical FTE</x:v>
      </x:c>
      <x:c r="D1" s="26" t="str">
        <x:v>Clinical Days/Week</x:v>
      </x:c>
      <x:c r="E1" s="26" t="str">
        <x:v>Slots/Day</x:v>
      </x:c>
      <x:c r="F1" s="26" t="str">
        <x:v>Template Utilization</x:v>
      </x:c>
      <x:c r="G1" s="26" t="str">
        <x:v>No-Show Rate</x:v>
      </x:c>
      <x:c r="H1" s="26" t="str">
        <x:v>New Pt Slots/Week</x:v>
      </x:c>
      <x:c r="I1" s="26" t="str">
        <x:v>Total Slots/Week</x:v>
      </x:c>
      <x:c r="J1" s="26" t="str">
        <x:v>Established Slots/Week</x:v>
      </x:c>
      <x:c r="K1" s="26" t="str">
        <x:v>Expected Completed Visits/Week</x:v>
      </x:c>
    </x:row>
    <x:row r="2">
      <x:c r="A2" s="19" t="str">
        <x:v>Adams, MD</x:v>
      </x:c>
      <x:c r="B2" s="19" t="str">
        <x:v>Physician</x:v>
      </x:c>
      <x:c r="C2" s="32" t="n">
        <x:v>1</x:v>
      </x:c>
      <x:c r="D2" s="32" t="n">
        <x:v>4</x:v>
      </x:c>
      <x:c r="E2" s="32" t="n">
        <x:v>20</x:v>
      </x:c>
      <x:c r="F2" s="33" t="n">
        <x:v>0.96</x:v>
      </x:c>
      <x:c r="G2" s="33" t="n">
        <x:v>0.06</x:v>
      </x:c>
      <x:c r="H2" s="32" t="n">
        <x:v>8</x:v>
      </x:c>
      <x:c r="I2" s="32" t="n">
        <x:f>D2*E2</x:f>
        <x:v>80</x:v>
      </x:c>
      <x:c r="J2" s="32" t="n">
        <x:f>I2-H2</x:f>
        <x:v>72</x:v>
      </x:c>
      <x:c r="K2" s="32" t="n">
        <x:f>I2*F2*(1-G2)</x:f>
        <x:v>72.192</x:v>
      </x:c>
    </x:row>
    <x:row r="3">
      <x:c r="A3" s="19" t="str">
        <x:v>Brooks, MD</x:v>
      </x:c>
      <x:c r="B3" s="19" t="str">
        <x:v>Physician</x:v>
      </x:c>
      <x:c r="C3" s="32" t="n">
        <x:v>0.8</x:v>
      </x:c>
      <x:c r="D3" s="32" t="n">
        <x:v>3.5</x:v>
      </x:c>
      <x:c r="E3" s="32" t="n">
        <x:v>20</x:v>
      </x:c>
      <x:c r="F3" s="33" t="n">
        <x:v>0.94</x:v>
      </x:c>
      <x:c r="G3" s="33" t="n">
        <x:v>0.05</x:v>
      </x:c>
      <x:c r="H3" s="32" t="n">
        <x:v>6</x:v>
      </x:c>
      <x:c r="I3" s="32" t="n">
        <x:f>D3*E3</x:f>
        <x:v>70</x:v>
      </x:c>
      <x:c r="J3" s="32" t="n">
        <x:f>I3-H3</x:f>
        <x:v>64</x:v>
      </x:c>
      <x:c r="K3" s="32" t="n">
        <x:f>I3*F3*(1-G3)</x:f>
        <x:v>62.50999999999999</x:v>
      </x:c>
    </x:row>
    <x:row r="4">
      <x:c r="A4" s="19" t="str">
        <x:v>Chen, DO</x:v>
      </x:c>
      <x:c r="B4" s="19" t="str">
        <x:v>Physician</x:v>
      </x:c>
      <x:c r="C4" s="32" t="n">
        <x:v>1</x:v>
      </x:c>
      <x:c r="D4" s="32" t="n">
        <x:v>4</x:v>
      </x:c>
      <x:c r="E4" s="32" t="n">
        <x:v>22</x:v>
      </x:c>
      <x:c r="F4" s="33" t="n">
        <x:v>0.97</x:v>
      </x:c>
      <x:c r="G4" s="33" t="n">
        <x:v>0.07</x:v>
      </x:c>
      <x:c r="H4" s="32" t="n">
        <x:v>8</x:v>
      </x:c>
      <x:c r="I4" s="32" t="n">
        <x:f>D4*E4</x:f>
        <x:v>88</x:v>
      </x:c>
      <x:c r="J4" s="32" t="n">
        <x:f>I4-H4</x:f>
        <x:v>80</x:v>
      </x:c>
      <x:c r="K4" s="32" t="n">
        <x:f>I4*F4*(1-G4)</x:f>
        <x:v>79.3848</x:v>
      </x:c>
    </x:row>
    <x:row r="5">
      <x:c r="A5" s="19" t="str">
        <x:v>Diaz, MD</x:v>
      </x:c>
      <x:c r="B5" s="19" t="str">
        <x:v>Physician</x:v>
      </x:c>
      <x:c r="C5" s="32" t="n">
        <x:v>0.8</x:v>
      </x:c>
      <x:c r="D5" s="32" t="n">
        <x:v>3</x:v>
      </x:c>
      <x:c r="E5" s="32" t="n">
        <x:v>20</x:v>
      </x:c>
      <x:c r="F5" s="33" t="n">
        <x:v>0.93</x:v>
      </x:c>
      <x:c r="G5" s="33" t="n">
        <x:v>0.05</x:v>
      </x:c>
      <x:c r="H5" s="32" t="n">
        <x:v>5</x:v>
      </x:c>
      <x:c r="I5" s="32" t="n">
        <x:f>D5*E5</x:f>
        <x:v>60</x:v>
      </x:c>
      <x:c r="J5" s="32" t="n">
        <x:f>I5-H5</x:f>
        <x:v>55</x:v>
      </x:c>
      <x:c r="K5" s="32" t="n">
        <x:f>I5*F5*(1-G5)</x:f>
        <x:v>53.010000000000005</x:v>
      </x:c>
    </x:row>
    <x:row r="6">
      <x:c r="A6" s="19" t="str">
        <x:v>Evans, NP</x:v>
      </x:c>
      <x:c r="B6" s="19" t="str">
        <x:v>APP</x:v>
      </x:c>
      <x:c r="C6" s="32" t="n">
        <x:v>1</x:v>
      </x:c>
      <x:c r="D6" s="32" t="n">
        <x:v>4.5</x:v>
      </x:c>
      <x:c r="E6" s="32" t="n">
        <x:v>18</x:v>
      </x:c>
      <x:c r="F6" s="33" t="n">
        <x:v>0.95</x:v>
      </x:c>
      <x:c r="G6" s="33" t="n">
        <x:v>0.08</x:v>
      </x:c>
      <x:c r="H6" s="32" t="n">
        <x:v>10</x:v>
      </x:c>
      <x:c r="I6" s="32" t="n">
        <x:f>D6*E6</x:f>
        <x:v>81</x:v>
      </x:c>
      <x:c r="J6" s="32" t="n">
        <x:f>I6-H6</x:f>
        <x:v>71</x:v>
      </x:c>
      <x:c r="K6" s="32" t="n">
        <x:f>I6*F6*(1-G6)</x:f>
        <x:v>70.79400000000001</x:v>
      </x:c>
    </x:row>
    <x:row r="7">
      <x:c r="A7" s="19" t="str">
        <x:v>Foster, PA</x:v>
      </x:c>
      <x:c r="B7" s="19" t="str">
        <x:v>APP</x:v>
      </x:c>
      <x:c r="C7" s="32" t="n">
        <x:v>1</x:v>
      </x:c>
      <x:c r="D7" s="32" t="n">
        <x:v>4.5</x:v>
      </x:c>
      <x:c r="E7" s="32" t="n">
        <x:v>18</x:v>
      </x:c>
      <x:c r="F7" s="33" t="n">
        <x:v>0.94</x:v>
      </x:c>
      <x:c r="G7" s="33" t="n">
        <x:v>0.07</x:v>
      </x:c>
      <x:c r="H7" s="32" t="n">
        <x:v>10</x:v>
      </x:c>
      <x:c r="I7" s="32" t="n">
        <x:f>D7*E7</x:f>
        <x:v>81</x:v>
      </x:c>
      <x:c r="J7" s="32" t="n">
        <x:f>I7-H7</x:f>
        <x:v>71</x:v>
      </x:c>
      <x:c r="K7" s="32" t="n">
        <x:f>I7*F7*(1-G7)</x:f>
        <x:v>70.8102</x:v>
      </x:c>
    </x:row>
    <x:row r="8">
      <x:c r="A8" s="19" t="str">
        <x:v>Grant, MD</x:v>
      </x:c>
      <x:c r="B8" s="19" t="str">
        <x:v>Physician</x:v>
      </x:c>
      <x:c r="C8" s="32" t="n">
        <x:v>0.6</x:v>
      </x:c>
      <x:c r="D8" s="32" t="n">
        <x:v>2.5</x:v>
      </x:c>
      <x:c r="E8" s="32" t="n">
        <x:v>20</x:v>
      </x:c>
      <x:c r="F8" s="33" t="n">
        <x:v>0.92</x:v>
      </x:c>
      <x:c r="G8" s="33" t="n">
        <x:v>0.05</x:v>
      </x:c>
      <x:c r="H8" s="32" t="n">
        <x:v>4</x:v>
      </x:c>
      <x:c r="I8" s="32" t="n">
        <x:f>D8*E8</x:f>
        <x:v>50</x:v>
      </x:c>
      <x:c r="J8" s="32" t="n">
        <x:f>I8-H8</x:f>
        <x:v>46</x:v>
      </x:c>
      <x:c r="K8" s="32" t="n">
        <x:f>I8*F8*(1-G8)</x:f>
        <x:v>43.699999999999996</x:v>
      </x:c>
    </x:row>
    <x:row r="9">
      <x:c r="A9" s="19" t="str">
        <x:v>Hall, NP</x:v>
      </x:c>
      <x:c r="B9" s="19" t="str">
        <x:v>APP</x:v>
      </x:c>
      <x:c r="C9" s="32" t="n">
        <x:v>0.8</x:v>
      </x:c>
      <x:c r="D9" s="32" t="n">
        <x:v>3.5</x:v>
      </x:c>
      <x:c r="E9" s="32" t="n">
        <x:v>18</x:v>
      </x:c>
      <x:c r="F9" s="33" t="n">
        <x:v>0.93</x:v>
      </x:c>
      <x:c r="G9" s="33" t="n">
        <x:v>0.08</x:v>
      </x:c>
      <x:c r="H9" s="32" t="n">
        <x:v>8</x:v>
      </x:c>
      <x:c r="I9" s="32" t="n">
        <x:f>D9*E9</x:f>
        <x:v>63</x:v>
      </x:c>
      <x:c r="J9" s="32" t="n">
        <x:f>I9-H9</x:f>
        <x:v>55</x:v>
      </x:c>
      <x:c r="K9" s="32" t="n">
        <x:f>I9*F9*(1-G9)</x:f>
        <x:v>53.902800000000006</x:v>
      </x:c>
    </x:row>
    <x:row r="11">
      <x:c r="A11" s="36" t="str">
        <x:v>Capacity Summary</x:v>
      </x:c>
      <x:c r="B11" s="36" t="str">
        <x:v>Value</x:v>
      </x:c>
    </x:row>
    <x:row r="12">
      <x:c r="A12" t="str">
        <x:v>Total Weekly Slots</x:v>
      </x:c>
      <x:c r="B12" s="28" t="n">
        <x:f>SUM(I2:I9)</x:f>
        <x:v>573</x:v>
      </x:c>
    </x:row>
    <x:row r="13">
      <x:c r="A13" t="str">
        <x:v>New Patient Slots</x:v>
      </x:c>
      <x:c r="B13" s="28" t="n">
        <x:f>SUM(H2:H9)</x:f>
        <x:v>59</x:v>
      </x:c>
    </x:row>
    <x:row r="14">
      <x:c r="A14" t="str">
        <x:v>Established Slots</x:v>
      </x:c>
      <x:c r="B14" s="28" t="n">
        <x:f>SUM(J2:J9)</x:f>
        <x:v>514</x:v>
      </x:c>
    </x:row>
    <x:row r="15">
      <x:c r="A15" t="str">
        <x:v>Expected Completed Visits</x:v>
      </x:c>
      <x:c r="B15" s="28" t="n">
        <x:f>SUM(K2:K9)</x:f>
        <x:v>506.3038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6" t="str">
        <x:v>Scenario</x:v>
      </x:c>
      <x:c r="B1" s="26" t="str">
        <x:v>Added Total Slots/Week</x:v>
      </x:c>
      <x:c r="C1" s="26" t="str">
        <x:v>Added New Pt Slots/Week</x:v>
      </x:c>
      <x:c r="D1" s="26" t="str">
        <x:v>Added Scheduling FTE</x:v>
      </x:c>
      <x:c r="E1" s="26" t="str">
        <x:v>Weekly Incremental Cost</x:v>
      </x:c>
      <x:c r="F1" s="26" t="str">
        <x:v>New Pt Capacity</x:v>
      </x:c>
      <x:c r="G1" s="26" t="str">
        <x:v>Established Capacity</x:v>
      </x:c>
      <x:c r="H1" s="26" t="str">
        <x:v>New Pt Capacity Gap</x:v>
      </x:c>
      <x:c r="I1" s="26" t="str">
        <x:v>Established Capacity Gap</x:v>
      </x:c>
      <x:c r="J1" s="26" t="str">
        <x:v>Weekly Call Capacity</x:v>
      </x:c>
      <x:c r="K1" s="26" t="str">
        <x:v>Call Capacity Gap</x:v>
      </x:c>
      <x:c r="L1" s="26" t="str">
        <x:v>12-Week Backlog</x:v>
      </x:c>
      <x:c r="M1" s="26" t="str">
        <x:v>Projected Access Days</x:v>
      </x:c>
    </x:row>
    <x:row r="2">
      <x:c r="A2" s="19" t="str">
        <x:v>Baseline</x:v>
      </x:c>
      <x:c r="B2" s="19" t="n">
        <x:v>0</x:v>
      </x:c>
      <x:c r="C2" s="19" t="n">
        <x:v>0</x:v>
      </x:c>
      <x:c r="D2" s="42" t="n">
        <x:v>0</x:v>
      </x:c>
      <x:c r="E2" s="43" t="n">
        <x:v>0</x:v>
      </x:c>
      <x:c r="F2" s="32" t="n">
        <x:f>'Provider Capacity'!$B$13+C2</x:f>
        <x:v>59</x:v>
      </x:c>
      <x:c r="G2" s="32" t="n">
        <x:f>'Provider Capacity'!$B$14+B2-C2</x:f>
        <x:v>514</x:v>
      </x:c>
      <x:c r="H2" s="32" t="n">
        <x:f>F2-Inputs!$B$5</x:f>
        <x:v>-19</x:v>
      </x:c>
      <x:c r="I2" s="32" t="n">
        <x:f>G2-Inputs!$B$6</x:f>
        <x:v>44</x:v>
      </x:c>
      <x:c r="J2" s="32" t="n">
        <x:f>(Inputs!$B$10+D2)*Inputs!$B$11</x:f>
        <x:v>1260</x:v>
      </x:c>
      <x:c r="K2" s="32" t="n">
        <x:f>J2-Inputs!$B$9</x:f>
        <x:v>-190</x:v>
      </x:c>
      <x:c r="L2" s="32" t="n">
        <x:f>MAX(0,Inputs!$B$7-(F2-Inputs!$B$5)*Inputs!$B$14)</x:f>
        <x:v>333</x:v>
      </x:c>
      <x:c r="M2" s="32" t="n">
        <x:f>IF(F2=0,0,L2/(F2/Inputs!$B$8))</x:f>
        <x:v>28.220338983050844</x:v>
      </x:c>
    </x:row>
    <x:row r="3">
      <x:c r="A3" s="19" t="str">
        <x:v>Template Rebalance</x:v>
      </x:c>
      <x:c r="B3" s="19" t="n">
        <x:v>0</x:v>
      </x:c>
      <x:c r="C3" s="19" t="n">
        <x:v>14</x:v>
      </x:c>
      <x:c r="D3" s="42" t="n">
        <x:v>0</x:v>
      </x:c>
      <x:c r="E3" s="43" t="n">
        <x:v>0</x:v>
      </x:c>
      <x:c r="F3" s="32" t="n">
        <x:f>'Provider Capacity'!$B$13+C3</x:f>
        <x:v>73</x:v>
      </x:c>
      <x:c r="G3" s="32" t="n">
        <x:f>'Provider Capacity'!$B$14+B3-C3</x:f>
        <x:v>500</x:v>
      </x:c>
      <x:c r="H3" s="32" t="n">
        <x:f>F3-Inputs!$B$5</x:f>
        <x:v>-5</x:v>
      </x:c>
      <x:c r="I3" s="32" t="n">
        <x:f>G3-Inputs!$B$6</x:f>
        <x:v>30</x:v>
      </x:c>
      <x:c r="J3" s="32" t="n">
        <x:f>(Inputs!$B$10+D3)*Inputs!$B$11</x:f>
        <x:v>1260</x:v>
      </x:c>
      <x:c r="K3" s="32" t="n">
        <x:f>J3-Inputs!$B$9</x:f>
        <x:v>-190</x:v>
      </x:c>
      <x:c r="L3" s="32" t="n">
        <x:f>MAX(0,Inputs!$B$7-(F3-Inputs!$B$5)*Inputs!$B$14)</x:f>
        <x:v>165</x:v>
      </x:c>
      <x:c r="M3" s="32" t="n">
        <x:f>IF(F3=0,0,L3/(F3/Inputs!$B$8))</x:f>
        <x:v>11.301369863013699</x:v>
      </x:c>
    </x:row>
    <x:row r="4">
      <x:c r="A4" s="19" t="str">
        <x:v>Evening Access Sessions</x:v>
      </x:c>
      <x:c r="B4" s="19" t="n">
        <x:v>20</x:v>
      </x:c>
      <x:c r="C4" s="19" t="n">
        <x:v>10</x:v>
      </x:c>
      <x:c r="D4" s="42" t="n">
        <x:v>0.25</x:v>
      </x:c>
      <x:c r="E4" s="43" t="n">
        <x:v>900</x:v>
      </x:c>
      <x:c r="F4" s="32" t="n">
        <x:f>'Provider Capacity'!$B$13+C4</x:f>
        <x:v>69</x:v>
      </x:c>
      <x:c r="G4" s="32" t="n">
        <x:f>'Provider Capacity'!$B$14+B4-C4</x:f>
        <x:v>524</x:v>
      </x:c>
      <x:c r="H4" s="32" t="n">
        <x:f>F4-Inputs!$B$5</x:f>
        <x:v>-9</x:v>
      </x:c>
      <x:c r="I4" s="32" t="n">
        <x:f>G4-Inputs!$B$6</x:f>
        <x:v>54</x:v>
      </x:c>
      <x:c r="J4" s="32" t="n">
        <x:f>(Inputs!$B$10+D4)*Inputs!$B$11</x:f>
        <x:v>1365</x:v>
      </x:c>
      <x:c r="K4" s="32" t="n">
        <x:f>J4-Inputs!$B$9</x:f>
        <x:v>-85</x:v>
      </x:c>
      <x:c r="L4" s="32" t="n">
        <x:f>MAX(0,Inputs!$B$7-(F4-Inputs!$B$5)*Inputs!$B$14)</x:f>
        <x:v>213</x:v>
      </x:c>
      <x:c r="M4" s="32" t="n">
        <x:f>IF(F4=0,0,L4/(F4/Inputs!$B$8))</x:f>
        <x:v>15.43478260869565</x:v>
      </x:c>
    </x:row>
    <x:row r="5">
      <x:c r="A5" s="19" t="str">
        <x:v>0.5 APP FTE</x:v>
      </x:c>
      <x:c r="B5" s="19" t="n">
        <x:v>36</x:v>
      </x:c>
      <x:c r="C5" s="19" t="n">
        <x:v>16</x:v>
      </x:c>
      <x:c r="D5" s="42" t="n">
        <x:v>0.25</x:v>
      </x:c>
      <x:c r="E5" s="43" t="n">
        <x:v>3200</x:v>
      </x:c>
      <x:c r="F5" s="32" t="n">
        <x:f>'Provider Capacity'!$B$13+C5</x:f>
        <x:v>75</x:v>
      </x:c>
      <x:c r="G5" s="32" t="n">
        <x:f>'Provider Capacity'!$B$14+B5-C5</x:f>
        <x:v>534</x:v>
      </x:c>
      <x:c r="H5" s="32" t="n">
        <x:f>F5-Inputs!$B$5</x:f>
        <x:v>-3</x:v>
      </x:c>
      <x:c r="I5" s="32" t="n">
        <x:f>G5-Inputs!$B$6</x:f>
        <x:v>64</x:v>
      </x:c>
      <x:c r="J5" s="32" t="n">
        <x:f>(Inputs!$B$10+D5)*Inputs!$B$11</x:f>
        <x:v>1365</x:v>
      </x:c>
      <x:c r="K5" s="32" t="n">
        <x:f>J5-Inputs!$B$9</x:f>
        <x:v>-85</x:v>
      </x:c>
      <x:c r="L5" s="32" t="n">
        <x:f>MAX(0,Inputs!$B$7-(F5-Inputs!$B$5)*Inputs!$B$14)</x:f>
        <x:v>141</x:v>
      </x:c>
      <x:c r="M5" s="32" t="n">
        <x:f>IF(F5=0,0,L5/(F5/Inputs!$B$8))</x:f>
        <x:v>9.4</x:v>
      </x:c>
    </x:row>
    <x:row r="6">
      <x:c r="A6" s="19" t="str">
        <x:v>Recommended: Rebalance + Evening + Scheduler</x:v>
      </x:c>
      <x:c r="B6" s="19" t="n">
        <x:v>20</x:v>
      </x:c>
      <x:c r="C6" s="19" t="n">
        <x:v>24</x:v>
      </x:c>
      <x:c r="D6" s="42" t="n">
        <x:v>0.5</x:v>
      </x:c>
      <x:c r="E6" s="43" t="n">
        <x:v>1600</x:v>
      </x:c>
      <x:c r="F6" s="32" t="n">
        <x:f>'Provider Capacity'!$B$13+C6</x:f>
        <x:v>83</x:v>
      </x:c>
      <x:c r="G6" s="32" t="n">
        <x:f>'Provider Capacity'!$B$14+B6-C6</x:f>
        <x:v>510</x:v>
      </x:c>
      <x:c r="H6" s="32" t="n">
        <x:f>F6-Inputs!$B$5</x:f>
        <x:v>5</x:v>
      </x:c>
      <x:c r="I6" s="32" t="n">
        <x:f>G6-Inputs!$B$6</x:f>
        <x:v>40</x:v>
      </x:c>
      <x:c r="J6" s="32" t="n">
        <x:f>(Inputs!$B$10+D6)*Inputs!$B$11</x:f>
        <x:v>1470</x:v>
      </x:c>
      <x:c r="K6" s="32" t="n">
        <x:f>J6-Inputs!$B$9</x:f>
        <x:v>20</x:v>
      </x:c>
      <x:c r="L6" s="32" t="n">
        <x:f>MAX(0,Inputs!$B$7-(F6-Inputs!$B$5)*Inputs!$B$14)</x:f>
        <x:v>45</x:v>
      </x:c>
      <x:c r="M6" s="32" t="n">
        <x:f>IF(F6=0,0,L6/(F6/Inputs!$B$8))</x:f>
        <x:v>2.710843373493976</x:v>
      </x:c>
    </x:row>
  </x:sheetData>
  <x:conditionalFormatting sqref="H1:M1">
    <x:cfRule type="expression" dxfId="0" priority="1">
      <x:formula>H2&lt;0</x:formula>
    </x:cfRule>
    <x:cfRule type="expression" dxfId="1" priority="2">
      <x:formula>H2&gt;=0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46" t="str">
        <x:v>Week</x:v>
      </x:c>
      <x:c r="B1" s="46" t="str">
        <x:v>Baseline Backlog</x:v>
      </x:c>
      <x:c r="C1" s="46" t="str">
        <x:v>Recommended Backlog</x:v>
      </x:c>
    </x:row>
    <x:row r="2">
      <x:c r="A2" s="48" t="n">
        <x:v>0</x:v>
      </x:c>
      <x:c r="B2" s="28" t="n">
        <x:f>Inputs!$B$7</x:f>
        <x:v>105</x:v>
      </x:c>
      <x:c r="C2" s="28" t="n">
        <x:f>Inputs!$B$7</x:f>
        <x:v>105</x:v>
      </x:c>
    </x:row>
    <x:row r="3">
      <x:c r="A3" s="48" t="n">
        <x:v>1</x:v>
      </x:c>
      <x:c r="B3" s="28" t="n">
        <x:f>MAX(0,B2-('Scenario Analysis'!$F$2-Inputs!$B$5))</x:f>
        <x:v>124</x:v>
      </x:c>
      <x:c r="C3" s="28" t="n">
        <x:f>MAX(0,C2-('Scenario Analysis'!$F$6-Inputs!$B$5))</x:f>
        <x:v>100</x:v>
      </x:c>
    </x:row>
    <x:row r="4">
      <x:c r="A4" s="48" t="n">
        <x:v>2</x:v>
      </x:c>
      <x:c r="B4" s="28" t="n">
        <x:f>MAX(0,B3-('Scenario Analysis'!$F$2-Inputs!$B$5))</x:f>
        <x:v>143</x:v>
      </x:c>
      <x:c r="C4" s="28" t="n">
        <x:f>MAX(0,C3-('Scenario Analysis'!$F$6-Inputs!$B$5))</x:f>
        <x:v>95</x:v>
      </x:c>
    </x:row>
    <x:row r="5">
      <x:c r="A5" s="48" t="n">
        <x:v>3</x:v>
      </x:c>
      <x:c r="B5" s="28" t="n">
        <x:f>MAX(0,B4-('Scenario Analysis'!$F$2-Inputs!$B$5))</x:f>
        <x:v>162</x:v>
      </x:c>
      <x:c r="C5" s="28" t="n">
        <x:f>MAX(0,C4-('Scenario Analysis'!$F$6-Inputs!$B$5))</x:f>
        <x:v>90</x:v>
      </x:c>
    </x:row>
    <x:row r="6">
      <x:c r="A6" s="48" t="n">
        <x:v>4</x:v>
      </x:c>
      <x:c r="B6" s="28" t="n">
        <x:f>MAX(0,B5-('Scenario Analysis'!$F$2-Inputs!$B$5))</x:f>
        <x:v>181</x:v>
      </x:c>
      <x:c r="C6" s="28" t="n">
        <x:f>MAX(0,C5-('Scenario Analysis'!$F$6-Inputs!$B$5))</x:f>
        <x:v>85</x:v>
      </x:c>
    </x:row>
    <x:row r="7">
      <x:c r="A7" s="48" t="n">
        <x:v>5</x:v>
      </x:c>
      <x:c r="B7" s="28" t="n">
        <x:f>MAX(0,B6-('Scenario Analysis'!$F$2-Inputs!$B$5))</x:f>
        <x:v>200</x:v>
      </x:c>
      <x:c r="C7" s="28" t="n">
        <x:f>MAX(0,C6-('Scenario Analysis'!$F$6-Inputs!$B$5))</x:f>
        <x:v>80</x:v>
      </x:c>
    </x:row>
    <x:row r="8">
      <x:c r="A8" s="48" t="n">
        <x:v>6</x:v>
      </x:c>
      <x:c r="B8" s="28" t="n">
        <x:f>MAX(0,B7-('Scenario Analysis'!$F$2-Inputs!$B$5))</x:f>
        <x:v>219</x:v>
      </x:c>
      <x:c r="C8" s="28" t="n">
        <x:f>MAX(0,C7-('Scenario Analysis'!$F$6-Inputs!$B$5))</x:f>
        <x:v>75</x:v>
      </x:c>
    </x:row>
    <x:row r="9">
      <x:c r="A9" s="48" t="n">
        <x:v>7</x:v>
      </x:c>
      <x:c r="B9" s="28" t="n">
        <x:f>MAX(0,B8-('Scenario Analysis'!$F$2-Inputs!$B$5))</x:f>
        <x:v>238</x:v>
      </x:c>
      <x:c r="C9" s="28" t="n">
        <x:f>MAX(0,C8-('Scenario Analysis'!$F$6-Inputs!$B$5))</x:f>
        <x:v>70</x:v>
      </x:c>
    </x:row>
    <x:row r="10">
      <x:c r="A10" s="48" t="n">
        <x:v>8</x:v>
      </x:c>
      <x:c r="B10" s="28" t="n">
        <x:f>MAX(0,B9-('Scenario Analysis'!$F$2-Inputs!$B$5))</x:f>
        <x:v>257</x:v>
      </x:c>
      <x:c r="C10" s="28" t="n">
        <x:f>MAX(0,C9-('Scenario Analysis'!$F$6-Inputs!$B$5))</x:f>
        <x:v>65</x:v>
      </x:c>
    </x:row>
    <x:row r="11">
      <x:c r="A11" s="48" t="n">
        <x:v>9</x:v>
      </x:c>
      <x:c r="B11" s="28" t="n">
        <x:f>MAX(0,B10-('Scenario Analysis'!$F$2-Inputs!$B$5))</x:f>
        <x:v>276</x:v>
      </x:c>
      <x:c r="C11" s="28" t="n">
        <x:f>MAX(0,C10-('Scenario Analysis'!$F$6-Inputs!$B$5))</x:f>
        <x:v>60</x:v>
      </x:c>
    </x:row>
    <x:row r="12">
      <x:c r="A12" s="48" t="n">
        <x:v>10</x:v>
      </x:c>
      <x:c r="B12" s="28" t="n">
        <x:f>MAX(0,B11-('Scenario Analysis'!$F$2-Inputs!$B$5))</x:f>
        <x:v>295</x:v>
      </x:c>
      <x:c r="C12" s="28" t="n">
        <x:f>MAX(0,C11-('Scenario Analysis'!$F$6-Inputs!$B$5))</x:f>
        <x:v>55</x:v>
      </x:c>
    </x:row>
    <x:row r="13">
      <x:c r="A13" s="48" t="n">
        <x:v>11</x:v>
      </x:c>
      <x:c r="B13" s="28" t="n">
        <x:f>MAX(0,B12-('Scenario Analysis'!$F$2-Inputs!$B$5))</x:f>
        <x:v>314</x:v>
      </x:c>
      <x:c r="C13" s="28" t="n">
        <x:f>MAX(0,C12-('Scenario Analysis'!$F$6-Inputs!$B$5))</x:f>
        <x:v>50</x:v>
      </x:c>
    </x:row>
    <x:row r="14">
      <x:c r="A14" s="48" t="n">
        <x:v>12</x:v>
      </x:c>
      <x:c r="B14" s="28" t="n">
        <x:f>MAX(0,B13-('Scenario Analysis'!$F$2-Inputs!$B$5))</x:f>
        <x:v>333</x:v>
      </x:c>
      <x:c r="C14" s="28" t="n">
        <x:f>MAX(0,C13-('Scenario Analysis'!$F$6-Inputs!$B$5))</x:f>
        <x:v>45</x:v>
      </x:c>
    </x:row>
  </x:sheetData>
  <x:pageMargins left="0.7" right="0.7" top="0.75" bottom="0.75" header="0.3" footer="0.3"/>
  <x:drawing xmlns:r="http://schemas.openxmlformats.org/officeDocument/2006/relationships" r:id="R45193a9b610d4435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4" max="14" width="2" hidden="0" customWidth="1"/>
    <x:col min="15" max="15" width="2" hidden="0" customWidth="1"/>
    <x:col min="16" max="16" width="2" hidden="0" customWidth="1"/>
    <x:col min="18" max="18" width="2" hidden="0" customWidth="1"/>
    <x:col min="19" max="19" width="2" hidden="0" customWidth="1"/>
    <x:col min="20" max="20" width="2" hidden="0" customWidth="1"/>
  </x:cols>
  <x:sheetData>
    <x:row r="1">
      <x:c r="A1" s="52" t="str">
        <x:v>Healthcare Capacity &amp; Access Optimization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N1" t="str">
        <x:v>Week</x:v>
      </x:c>
      <x:c r="O1" t="str">
        <x:v>Baseline</x:v>
      </x:c>
      <x:c r="P1" t="str">
        <x:v>Recommended</x:v>
      </x:c>
      <x:c r="R1" t="str">
        <x:v>Scenario</x:v>
      </x:c>
      <x:c r="S1" t="str">
        <x:v>New Pt Capacity</x:v>
      </x:c>
      <x:c r="T1" t="str">
        <x:v>Demand</x:v>
      </x:c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N2" t="n">
        <x:v>0</x:v>
      </x:c>
      <x:c r="O2" t="n">
        <x:f>'12-Week Projection'!B2</x:f>
        <x:v>105</x:v>
      </x:c>
      <x:c r="P2" t="n">
        <x:f>'12-Week Projection'!C2</x:f>
        <x:v>105</x:v>
      </x:c>
      <x:c r="R2" t="str">
        <x:v>Baseline</x:v>
      </x:c>
      <x:c r="S2" t="n">
        <x:f>'Scenario Analysis'!F2</x:f>
        <x:v>59</x:v>
      </x:c>
      <x:c r="T2" t="n">
        <x:v>78</x:v>
      </x:c>
    </x:row>
    <x:row r="3">
      <x:c r="A3" s="58" t="str">
        <x:v>Synthetic primary-care capacity model | Provider supply + patient demand + access staffing</x:v>
      </x:c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N3" t="n">
        <x:v>1</x:v>
      </x:c>
      <x:c r="O3" t="n">
        <x:f>'12-Week Projection'!B3</x:f>
        <x:v>124</x:v>
      </x:c>
      <x:c r="P3" t="n">
        <x:f>'12-Week Projection'!C3</x:f>
        <x:v>100</x:v>
      </x:c>
      <x:c r="R3" t="str">
        <x:v>Template Rebalance</x:v>
      </x:c>
      <x:c r="S3" t="n">
        <x:f>'Scenario Analysis'!F3</x:f>
        <x:v>73</x:v>
      </x:c>
      <x:c r="T3" t="n">
        <x:v>78</x:v>
      </x:c>
    </x:row>
    <x:row r="4">
      <x:c r="N4" t="n">
        <x:v>2</x:v>
      </x:c>
      <x:c r="O4" t="n">
        <x:f>'12-Week Projection'!B4</x:f>
        <x:v>143</x:v>
      </x:c>
      <x:c r="P4" t="n">
        <x:f>'12-Week Projection'!C4</x:f>
        <x:v>95</x:v>
      </x:c>
      <x:c r="R4" t="str">
        <x:v>Evening Access Sessions</x:v>
      </x:c>
      <x:c r="S4" t="n">
        <x:f>'Scenario Analysis'!F4</x:f>
        <x:v>69</x:v>
      </x:c>
      <x:c r="T4" t="n">
        <x:v>78</x:v>
      </x:c>
    </x:row>
    <x:row r="5">
      <x:c r="A5" s="66" t="str">
        <x:v>Weekly New Pt Demand</x:v>
      </x:c>
      <x:c r="B5" s="66"/>
      <x:c r="C5" s="66"/>
      <x:c r="D5" s="66" t="str">
        <x:v>Baseline New Pt Capacity</x:v>
      </x:c>
      <x:c r="E5" s="66"/>
      <x:c r="F5" s="66"/>
      <x:c r="G5" s="66" t="str">
        <x:v>Baseline Access @ Week 12</x:v>
      </x:c>
      <x:c r="H5" s="66"/>
      <x:c r="I5" s="66"/>
      <x:c r="J5" s="66" t="str">
        <x:v>Recommended Access @ Week 12</x:v>
      </x:c>
      <x:c r="K5" s="66"/>
      <x:c r="L5" s="66"/>
      <x:c r="N5" t="n">
        <x:v>3</x:v>
      </x:c>
      <x:c r="O5" t="n">
        <x:f>'12-Week Projection'!B5</x:f>
        <x:v>162</x:v>
      </x:c>
      <x:c r="P5" t="n">
        <x:f>'12-Week Projection'!C5</x:f>
        <x:v>90</x:v>
      </x:c>
      <x:c r="R5" t="str">
        <x:v>0.5 APP FTE</x:v>
      </x:c>
      <x:c r="S5" t="n">
        <x:f>'Scenario Analysis'!F5</x:f>
        <x:v>75</x:v>
      </x:c>
      <x:c r="T5" t="n">
        <x:v>78</x:v>
      </x:c>
    </x:row>
    <x:row r="6">
      <x:c r="A6" s="110" t="n">
        <x:f>Inputs!B5</x:f>
        <x:v>78</x:v>
      </x:c>
      <x:c r="B6" s="111"/>
      <x:c r="C6" s="112"/>
      <x:c r="D6" s="110" t="n">
        <x:f>'Provider Capacity'!B13</x:f>
        <x:v>59</x:v>
      </x:c>
      <x:c r="E6" s="111"/>
      <x:c r="F6" s="112"/>
      <x:c r="G6" s="122" t="n">
        <x:f>'Scenario Analysis'!M2</x:f>
        <x:v>28.220338983050844</x:v>
      </x:c>
      <x:c r="H6" s="123"/>
      <x:c r="I6" s="124"/>
      <x:c r="J6" s="122" t="n">
        <x:f>'Scenario Analysis'!M6</x:f>
        <x:v>2.710843373493976</x:v>
      </x:c>
      <x:c r="K6" s="123"/>
      <x:c r="L6" s="124"/>
      <x:c r="N6" t="n">
        <x:v>4</x:v>
      </x:c>
      <x:c r="O6" t="n">
        <x:f>'12-Week Projection'!B6</x:f>
        <x:v>181</x:v>
      </x:c>
      <x:c r="P6" t="n">
        <x:f>'12-Week Projection'!C6</x:f>
        <x:v>85</x:v>
      </x:c>
      <x:c r="R6" t="str">
        <x:v>Recommended: Rebalance + Evening + Scheduler</x:v>
      </x:c>
      <x:c r="S6" t="n">
        <x:f>'Scenario Analysis'!F6</x:f>
        <x:v>83</x:v>
      </x:c>
      <x:c r="T6" t="n">
        <x:v>78</x:v>
      </x:c>
    </x:row>
    <x:row r="7">
      <x:c r="A7" s="110"/>
      <x:c r="B7" s="111"/>
      <x:c r="C7" s="112"/>
      <x:c r="D7" s="110"/>
      <x:c r="E7" s="111"/>
      <x:c r="F7" s="112"/>
      <x:c r="G7" s="122"/>
      <x:c r="H7" s="123"/>
      <x:c r="I7" s="124"/>
      <x:c r="J7" s="122"/>
      <x:c r="K7" s="123"/>
      <x:c r="L7" s="124"/>
      <x:c r="N7" t="n">
        <x:v>5</x:v>
      </x:c>
      <x:c r="O7" t="n">
        <x:f>'12-Week Projection'!B7</x:f>
        <x:v>200</x:v>
      </x:c>
      <x:c r="P7" t="n">
        <x:f>'12-Week Projection'!C7</x:f>
        <x:v>80</x:v>
      </x:c>
    </x:row>
    <x:row r="8">
      <x:c r="A8" s="113"/>
      <x:c r="B8" s="114"/>
      <x:c r="C8" s="115"/>
      <x:c r="D8" s="113"/>
      <x:c r="E8" s="114"/>
      <x:c r="F8" s="115"/>
      <x:c r="G8" s="125"/>
      <x:c r="H8" s="126"/>
      <x:c r="I8" s="127"/>
      <x:c r="J8" s="125"/>
      <x:c r="K8" s="126"/>
      <x:c r="L8" s="127"/>
      <x:c r="N8" t="n">
        <x:v>6</x:v>
      </x:c>
      <x:c r="O8" t="n">
        <x:f>'12-Week Projection'!B8</x:f>
        <x:v>219</x:v>
      </x:c>
      <x:c r="P8" t="n">
        <x:f>'12-Week Projection'!C8</x:f>
        <x:v>75</x:v>
      </x:c>
    </x:row>
    <x:row r="9">
      <x:c r="N9" t="n">
        <x:v>7</x:v>
      </x:c>
      <x:c r="O9" t="n">
        <x:f>'12-Week Projection'!B9</x:f>
        <x:v>238</x:v>
      </x:c>
      <x:c r="P9" t="n">
        <x:f>'12-Week Projection'!C9</x:f>
        <x:v>70</x:v>
      </x:c>
    </x:row>
    <x:row r="10">
      <x:c r="A10" s="66" t="str">
        <x:v>Starting Backlog</x:v>
      </x:c>
      <x:c r="B10" s="66"/>
      <x:c r="C10" s="66"/>
      <x:c r="D10" s="66" t="str">
        <x:v>Baseline Backlog @ Week 12</x:v>
      </x:c>
      <x:c r="E10" s="66"/>
      <x:c r="F10" s="66"/>
      <x:c r="G10" s="66" t="str">
        <x:v>Recommended Backlog @ Week 12</x:v>
      </x:c>
      <x:c r="H10" s="66"/>
      <x:c r="I10" s="66"/>
      <x:c r="J10" s="66" t="str">
        <x:v>Call Capacity Gap — Recommended</x:v>
      </x:c>
      <x:c r="K10" s="66"/>
      <x:c r="L10" s="66"/>
      <x:c r="N10" t="n">
        <x:v>8</x:v>
      </x:c>
      <x:c r="O10" t="n">
        <x:f>'12-Week Projection'!B10</x:f>
        <x:v>257</x:v>
      </x:c>
      <x:c r="P10" t="n">
        <x:f>'12-Week Projection'!C10</x:f>
        <x:v>65</x:v>
      </x:c>
    </x:row>
    <x:row r="11">
      <x:c r="A11" s="110" t="n">
        <x:f>Inputs!B7</x:f>
        <x:v>105</x:v>
      </x:c>
      <x:c r="B11" s="111"/>
      <x:c r="C11" s="112"/>
      <x:c r="D11" s="110" t="n">
        <x:f>'Scenario Analysis'!L2</x:f>
        <x:v>333</x:v>
      </x:c>
      <x:c r="E11" s="111"/>
      <x:c r="F11" s="112"/>
      <x:c r="G11" s="110" t="n">
        <x:f>'Scenario Analysis'!L6</x:f>
        <x:v>45</x:v>
      </x:c>
      <x:c r="H11" s="111"/>
      <x:c r="I11" s="112"/>
      <x:c r="J11" s="110" t="n">
        <x:f>'Scenario Analysis'!K6</x:f>
        <x:v>20</x:v>
      </x:c>
      <x:c r="K11" s="111"/>
      <x:c r="L11" s="112"/>
      <x:c r="N11" t="n">
        <x:v>9</x:v>
      </x:c>
      <x:c r="O11" t="n">
        <x:f>'12-Week Projection'!B11</x:f>
        <x:v>276</x:v>
      </x:c>
      <x:c r="P11" t="n">
        <x:f>'12-Week Projection'!C11</x:f>
        <x:v>60</x:v>
      </x:c>
    </x:row>
    <x:row r="12">
      <x:c r="A12" s="110"/>
      <x:c r="B12" s="111"/>
      <x:c r="C12" s="112"/>
      <x:c r="D12" s="110"/>
      <x:c r="E12" s="111"/>
      <x:c r="F12" s="112"/>
      <x:c r="G12" s="110"/>
      <x:c r="H12" s="111"/>
      <x:c r="I12" s="112"/>
      <x:c r="J12" s="110"/>
      <x:c r="K12" s="111"/>
      <x:c r="L12" s="112"/>
      <x:c r="N12" t="n">
        <x:v>10</x:v>
      </x:c>
      <x:c r="O12" t="n">
        <x:f>'12-Week Projection'!B12</x:f>
        <x:v>295</x:v>
      </x:c>
      <x:c r="P12" t="n">
        <x:f>'12-Week Projection'!C12</x:f>
        <x:v>55</x:v>
      </x:c>
    </x:row>
    <x:row r="13">
      <x:c r="A13" s="113"/>
      <x:c r="B13" s="114"/>
      <x:c r="C13" s="115"/>
      <x:c r="D13" s="113"/>
      <x:c r="E13" s="114"/>
      <x:c r="F13" s="115"/>
      <x:c r="G13" s="113"/>
      <x:c r="H13" s="114"/>
      <x:c r="I13" s="115"/>
      <x:c r="J13" s="113"/>
      <x:c r="K13" s="114"/>
      <x:c r="L13" s="115"/>
      <x:c r="N13" t="n">
        <x:v>11</x:v>
      </x:c>
      <x:c r="O13" t="n">
        <x:f>'12-Week Projection'!B13</x:f>
        <x:v>314</x:v>
      </x:c>
      <x:c r="P13" t="n">
        <x:f>'12-Week Projection'!C13</x:f>
        <x:v>50</x:v>
      </x:c>
    </x:row>
    <x:row r="14">
      <x:c r="N14" t="n">
        <x:v>12</x:v>
      </x:c>
      <x:c r="O14" t="n">
        <x:f>'12-Week Projection'!B14</x:f>
        <x:v>333</x:v>
      </x:c>
      <x:c r="P14" t="n">
        <x:f>'12-Week Projection'!C14</x:f>
        <x:v>45</x:v>
      </x:c>
    </x:row>
    <x:row r="16">
      <x:c r="A16" s="26" t="str">
        <x:v>Scenario</x:v>
      </x:c>
      <x:c r="B16" s="26" t="str">
        <x:v>New Pt Cap.</x:v>
      </x:c>
      <x:c r="C16" s="26" t="str">
        <x:v>Estab. Cap.</x:v>
      </x:c>
      <x:c r="D16" s="26" t="str">
        <x:v>Call Gap</x:v>
      </x:c>
      <x:c r="E16" s="26" t="str">
        <x:v>Week-12 Backlog</x:v>
      </x:c>
      <x:c r="F16" s="26" t="str">
        <x:v>Access Days</x:v>
      </x:c>
      <x:c r="G16" s="26" t="str">
        <x:v>Weekly Cost</x:v>
      </x:c>
    </x:row>
    <x:row r="17">
      <x:c r="A17" t="str">
        <x:v>Baseline</x:v>
      </x:c>
      <x:c r="B17" s="28" t="n">
        <x:f>'Scenario Analysis'!F2</x:f>
        <x:v>59</x:v>
      </x:c>
      <x:c r="C17" s="28" t="n">
        <x:f>'Scenario Analysis'!G2</x:f>
        <x:v>514</x:v>
      </x:c>
      <x:c r="D17" s="28" t="n">
        <x:f>'Scenario Analysis'!K2</x:f>
        <x:v>-190</x:v>
      </x:c>
      <x:c r="E17" s="28" t="n">
        <x:f>'Scenario Analysis'!L2</x:f>
        <x:v>333</x:v>
      </x:c>
      <x:c r="F17" s="28" t="n">
        <x:f>'Scenario Analysis'!M2</x:f>
        <x:v>28.220338983050844</x:v>
      </x:c>
      <x:c r="G17" s="40" t="n">
        <x:v>0</x:v>
      </x:c>
    </x:row>
    <x:row r="18">
      <x:c r="A18" t="str">
        <x:v>Template Rebalance</x:v>
      </x:c>
      <x:c r="B18" s="28" t="n">
        <x:f>'Scenario Analysis'!F3</x:f>
        <x:v>73</x:v>
      </x:c>
      <x:c r="C18" s="28" t="n">
        <x:f>'Scenario Analysis'!G3</x:f>
        <x:v>500</x:v>
      </x:c>
      <x:c r="D18" s="28" t="n">
        <x:f>'Scenario Analysis'!K3</x:f>
        <x:v>-190</x:v>
      </x:c>
      <x:c r="E18" s="28" t="n">
        <x:f>'Scenario Analysis'!L3</x:f>
        <x:v>165</x:v>
      </x:c>
      <x:c r="F18" s="28" t="n">
        <x:f>'Scenario Analysis'!M3</x:f>
        <x:v>11.301369863013699</x:v>
      </x:c>
      <x:c r="G18" s="40" t="n">
        <x:v>0</x:v>
      </x:c>
    </x:row>
    <x:row r="19">
      <x:c r="A19" t="str">
        <x:v>Evening Access Sessions</x:v>
      </x:c>
      <x:c r="B19" s="28" t="n">
        <x:f>'Scenario Analysis'!F4</x:f>
        <x:v>69</x:v>
      </x:c>
      <x:c r="C19" s="28" t="n">
        <x:f>'Scenario Analysis'!G4</x:f>
        <x:v>524</x:v>
      </x:c>
      <x:c r="D19" s="28" t="n">
        <x:f>'Scenario Analysis'!K4</x:f>
        <x:v>-85</x:v>
      </x:c>
      <x:c r="E19" s="28" t="n">
        <x:f>'Scenario Analysis'!L4</x:f>
        <x:v>213</x:v>
      </x:c>
      <x:c r="F19" s="28" t="n">
        <x:f>'Scenario Analysis'!M4</x:f>
        <x:v>15.43478260869565</x:v>
      </x:c>
      <x:c r="G19" s="40" t="n">
        <x:v>900</x:v>
      </x:c>
    </x:row>
    <x:row r="20">
      <x:c r="A20" t="str">
        <x:v>0.5 APP FTE</x:v>
      </x:c>
      <x:c r="B20" s="28" t="n">
        <x:f>'Scenario Analysis'!F5</x:f>
        <x:v>75</x:v>
      </x:c>
      <x:c r="C20" s="28" t="n">
        <x:f>'Scenario Analysis'!G5</x:f>
        <x:v>534</x:v>
      </x:c>
      <x:c r="D20" s="28" t="n">
        <x:f>'Scenario Analysis'!K5</x:f>
        <x:v>-85</x:v>
      </x:c>
      <x:c r="E20" s="28" t="n">
        <x:f>'Scenario Analysis'!L5</x:f>
        <x:v>141</x:v>
      </x:c>
      <x:c r="F20" s="28" t="n">
        <x:f>'Scenario Analysis'!M5</x:f>
        <x:v>9.4</x:v>
      </x:c>
      <x:c r="G20" s="40" t="n">
        <x:v>3200</x:v>
      </x:c>
    </x:row>
    <x:row r="21">
      <x:c r="A21" t="str">
        <x:v>Recommended: Rebalance + Evening + Scheduler</x:v>
      </x:c>
      <x:c r="B21" s="28" t="n">
        <x:f>'Scenario Analysis'!F6</x:f>
        <x:v>83</x:v>
      </x:c>
      <x:c r="C21" s="28" t="n">
        <x:f>'Scenario Analysis'!G6</x:f>
        <x:v>510</x:v>
      </x:c>
      <x:c r="D21" s="28" t="n">
        <x:f>'Scenario Analysis'!K6</x:f>
        <x:v>20</x:v>
      </x:c>
      <x:c r="E21" s="28" t="n">
        <x:f>'Scenario Analysis'!L6</x:f>
        <x:v>45</x:v>
      </x:c>
      <x:c r="F21" s="28" t="n">
        <x:f>'Scenario Analysis'!M6</x:f>
        <x:v>2.710843373493976</x:v>
      </x:c>
      <x:c r="G21" s="40" t="n">
        <x:v>1600</x:v>
      </x:c>
    </x:row>
    <x:row r="42">
      <x:c r="A42" s="36" t="str">
        <x:v>Executive Interpretation</x:v>
      </x:c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>
      <x:c r="A43" s="138" t="str">
        <x:v>1. Baseline new-patient capacity is structurally below demand, so the backlog grows even though established-visit capacity remains adequate.</x:v>
      </x:c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</x:row>
    <x:row r="45">
      <x:c r="A45" s="138" t="str">
        <x:v>2. Template rebalancing alone improves access but does not eliminate the backlog because demand still exceeds weekly new-patient supply.</x:v>
      </x:c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</x:row>
    <x:row r="47">
      <x:c r="A47" s="138" t="str">
        <x:v>3. Adding capacity without fixing scheduling support leaves a second bottleneck: phone demand exceeds administrative handling capacity.</x:v>
      </x:c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</x:row>
    <x:row r="49">
      <x:c r="A49" s="138" t="str">
        <x:v>4. The recommended combined scenario protects established capacity, adds enough new-patient supply to reverse backlog growth, and closes the call-capacity gap.</x:v>
      </x:c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</x:row>
    <x:row r="52">
      <x:c r="A52" s="150" t="str">
        <x:v>Portfolio note: All providers, volumes, costs, assumptions, and operational scenarios are fictional. No PHI, employer data, or proprietary information is included.</x:v>
      </x:c>
      <x:c r="B52" s="150"/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</x:row>
    <x:row r="53">
      <x:c r="A53" s="150"/>
      <x:c r="B53" s="150"/>
      <x:c r="C53" s="150"/>
      <x:c r="D53" s="150"/>
      <x:c r="E53" s="150"/>
      <x:c r="F53" s="150"/>
      <x:c r="G53" s="150"/>
      <x:c r="H53" s="150"/>
      <x:c r="I53" s="150"/>
      <x:c r="J53" s="150"/>
      <x:c r="K53" s="150"/>
      <x:c r="L53" s="150"/>
    </x:row>
  </x:sheetData>
  <x:mergeCells>
    <x:mergeCell ref="A1:L2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42:L42"/>
    <x:mergeCell ref="A43:L44"/>
    <x:mergeCell ref="A45:L46"/>
    <x:mergeCell ref="A47:L48"/>
    <x:mergeCell ref="A49:L50"/>
    <x:mergeCell ref="A52:L53"/>
  </x:mergeCells>
  <x:pageMargins left="0.7" right="0.7" top="0.75" bottom="0.75" header="0.3" footer="0.3"/>
  <x:drawing xmlns:r="http://schemas.openxmlformats.org/officeDocument/2006/relationships" r:id="Re0c56c36a32c47ea"/>
</x:worksheet>
</file>